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nastasia\Desktop\"/>
    </mc:Choice>
  </mc:AlternateContent>
  <xr:revisionPtr revIDLastSave="0" documentId="13_ncr:1_{D5D2318A-9214-4BC0-B59C-3DF5C9BF9A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G3" i="1"/>
  <c r="G4" i="1"/>
  <c r="G5" i="1"/>
  <c r="G6" i="1"/>
  <c r="G7" i="1"/>
  <c r="G8" i="1"/>
  <c r="G9" i="1"/>
  <c r="G10" i="1"/>
  <c r="G11" i="1"/>
  <c r="G12" i="1"/>
  <c r="G13" i="1"/>
  <c r="G14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2" i="1"/>
</calcChain>
</file>

<file path=xl/sharedStrings.xml><?xml version="1.0" encoding="utf-8"?>
<sst xmlns="http://schemas.openxmlformats.org/spreadsheetml/2006/main" count="8" uniqueCount="8">
  <si>
    <t>Столбец1</t>
  </si>
  <si>
    <t>№ спроби (A)</t>
  </si>
  <si>
    <t>Показ 5 с, с (B)</t>
  </si>
  <si>
    <t>Δ для 5 с, с (C)</t>
  </si>
  <si>
    <t>δ для 5 с, % (D)</t>
  </si>
  <si>
    <t>Показ 11 с, с (E)</t>
  </si>
  <si>
    <t>Δ для 11 с, с (F)</t>
  </si>
  <si>
    <t>δ для 11 с, %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</si>
</sst>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rgb="FF1F2328"/>
      <name val="Segoe UI"/>
      <family val="2"/>
      <charset val="204"/>
    </font>
    <font>
      <sz val="9"/>
      <color rgb="FF1F2328"/>
      <name val="Segoe UI"/>
      <family val="2"/>
      <charset val="204"/>
    </font>
    <font>
      <sz val="11"/>
      <color rgb="FF1F232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2" fontId="2" fillId="0" borderId="1" xfId="0" applyNumberFormat="1" applyFont="1" applyBorder="1"/>
    <xf numFmtId="2" fontId="0" fillId="0" borderId="0" xfId="0" applyNumberFormat="1"/>
    <xf numFmtId="2" fontId="0" fillId="0" borderId="1" xfId="0" applyNumberFormat="1" applyBorder="1"/>
    <xf numFmtId="2" fontId="1" fillId="0" borderId="0" xfId="0" applyNumberFormat="1" applyFont="1"/>
    <xf numFmtId="2" fontId="4" fillId="0" borderId="1" xfId="0" applyNumberFormat="1" applyFont="1" applyBorder="1"/>
    <xf numFmtId="2" fontId="1" fillId="0" borderId="1" xfId="0" applyNumberFormat="1" applyFont="1" applyBorder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" sz="1400" b="0" i="0" u="none" strike="noStrike" baseline="0"/>
              <a:t>Абсолютна похибка вимірювань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7"/>
          <c:order val="1"/>
          <c:tx>
            <c:strRef>
              <c:f>Sheet1!$C$1</c:f>
              <c:strCache>
                <c:ptCount val="1"/>
                <c:pt idx="0">
                  <c:v>Δ для 5 с, с (C)</c:v>
                </c:pt>
              </c:strCache>
            </c:strRef>
          </c:tx>
          <c:spPr>
            <a:ln w="19050">
              <a:noFill/>
            </a:ln>
          </c:spPr>
          <c:xVal>
            <c:numRef>
              <c:f>Sheet1!$A$2:$A$14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Sheet1!$C$2:$C$14</c:f>
              <c:numCache>
                <c:formatCode>General</c:formatCode>
                <c:ptCount val="13"/>
                <c:pt idx="0">
                  <c:v>-4.9999999999999822E-2</c:v>
                </c:pt>
                <c:pt idx="1">
                  <c:v>0.21999999999999975</c:v>
                </c:pt>
                <c:pt idx="2">
                  <c:v>-4.0000000000000036E-2</c:v>
                </c:pt>
                <c:pt idx="3">
                  <c:v>-0.37999999999999989</c:v>
                </c:pt>
                <c:pt idx="4">
                  <c:v>-0.58000000000000007</c:v>
                </c:pt>
                <c:pt idx="5">
                  <c:v>-0.37999999999999989</c:v>
                </c:pt>
                <c:pt idx="6">
                  <c:v>-0.16999999999999993</c:v>
                </c:pt>
                <c:pt idx="7">
                  <c:v>9.9999999999997868E-3</c:v>
                </c:pt>
                <c:pt idx="8">
                  <c:v>-4.0000000000000036E-2</c:v>
                </c:pt>
                <c:pt idx="9">
                  <c:v>0.29000000000000004</c:v>
                </c:pt>
                <c:pt idx="10">
                  <c:v>-0.23000000000000043</c:v>
                </c:pt>
                <c:pt idx="11">
                  <c:v>-0.24000000000000021</c:v>
                </c:pt>
                <c:pt idx="12">
                  <c:v>-0.11000000000000032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D14-48CA-AD30-2AAD6949462F}"/>
            </c:ext>
          </c:extLst>
        </c:ser>
        <c:ser>
          <c:idx val="10"/>
          <c:order val="4"/>
          <c:tx>
            <c:strRef>
              <c:f>Sheet1!$F$1</c:f>
              <c:strCache>
                <c:ptCount val="1"/>
                <c:pt idx="0">
                  <c:v>Δ для 11 с, с (F)</c:v>
                </c:pt>
              </c:strCache>
            </c:strRef>
          </c:tx>
          <c:spPr>
            <a:ln w="19050">
              <a:noFill/>
            </a:ln>
          </c:spPr>
          <c:xVal>
            <c:numRef>
              <c:f>Sheet1!$A$2:$A$14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Sheet1!$F$2:$F$14</c:f>
              <c:numCache>
                <c:formatCode>General</c:formatCode>
                <c:ptCount val="13"/>
                <c:pt idx="0">
                  <c:v>-0.38000000000000078</c:v>
                </c:pt>
                <c:pt idx="1">
                  <c:v>-0.16000000000000014</c:v>
                </c:pt>
                <c:pt idx="2">
                  <c:v>-0.17999999999999972</c:v>
                </c:pt>
                <c:pt idx="3">
                  <c:v>0</c:v>
                </c:pt>
                <c:pt idx="4">
                  <c:v>-0.10999999999999943</c:v>
                </c:pt>
                <c:pt idx="5">
                  <c:v>-0.10999999999999943</c:v>
                </c:pt>
                <c:pt idx="6">
                  <c:v>2.9999999999999361E-2</c:v>
                </c:pt>
                <c:pt idx="7">
                  <c:v>-0.16999999999999993</c:v>
                </c:pt>
                <c:pt idx="8">
                  <c:v>-0.17999999999999972</c:v>
                </c:pt>
                <c:pt idx="9">
                  <c:v>2.9999999999999361E-2</c:v>
                </c:pt>
                <c:pt idx="10">
                  <c:v>-0.61999999999999922</c:v>
                </c:pt>
                <c:pt idx="11">
                  <c:v>3.9999999999999147E-2</c:v>
                </c:pt>
                <c:pt idx="12">
                  <c:v>3.9999999999999147E-2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BD14-48CA-AD30-2AAD69494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664703"/>
        <c:axId val="1242665183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Показ 5 с, с (B)</c:v>
                      </c:pt>
                    </c:strCache>
                  </c:strRef>
                </c:tx>
                <c:spPr>
                  <a:ln w="19050"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Sheet1!$A$2:$A$14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Sheet1!$B$2:$B$14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4.95</c:v>
                      </c:pt>
                      <c:pt idx="1">
                        <c:v>5.22</c:v>
                      </c:pt>
                      <c:pt idx="2">
                        <c:v>4.96</c:v>
                      </c:pt>
                      <c:pt idx="3">
                        <c:v>4.62</c:v>
                      </c:pt>
                      <c:pt idx="4">
                        <c:v>4.42</c:v>
                      </c:pt>
                      <c:pt idx="5">
                        <c:v>4.62</c:v>
                      </c:pt>
                      <c:pt idx="6">
                        <c:v>4.83</c:v>
                      </c:pt>
                      <c:pt idx="7">
                        <c:v>5.01</c:v>
                      </c:pt>
                      <c:pt idx="8">
                        <c:v>4.96</c:v>
                      </c:pt>
                      <c:pt idx="9">
                        <c:v>5.29</c:v>
                      </c:pt>
                      <c:pt idx="10">
                        <c:v>4.7699999999999996</c:v>
                      </c:pt>
                      <c:pt idx="11">
                        <c:v>4.76</c:v>
                      </c:pt>
                      <c:pt idx="12">
                        <c:v>4.8899999999999997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2-BD14-48CA-AD30-2AAD6949462F}"/>
                  </c:ext>
                </c:extLst>
              </c15:ser>
            </c15:filteredScatterSeries>
            <c15:filteredScatterSeries>
              <c15:ser>
                <c:idx val="8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δ для 5 с, % (D)</c:v>
                      </c:pt>
                    </c:strCache>
                  </c:strRef>
                </c:tx>
                <c:spPr>
                  <a:ln w="19050">
                    <a:noFill/>
                  </a:ln>
                </c:spP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Sheet1!$D$2:$D$14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-0.99999999999999634</c:v>
                      </c:pt>
                      <c:pt idx="1">
                        <c:v>4.399999999999995</c:v>
                      </c:pt>
                      <c:pt idx="2">
                        <c:v>-0.80000000000000071</c:v>
                      </c:pt>
                      <c:pt idx="3">
                        <c:v>-7.5999999999999988</c:v>
                      </c:pt>
                      <c:pt idx="4">
                        <c:v>-11.600000000000001</c:v>
                      </c:pt>
                      <c:pt idx="5">
                        <c:v>-7.5999999999999988</c:v>
                      </c:pt>
                      <c:pt idx="6">
                        <c:v>-3.399999999999999</c:v>
                      </c:pt>
                      <c:pt idx="7">
                        <c:v>0.19999999999999576</c:v>
                      </c:pt>
                      <c:pt idx="8">
                        <c:v>-0.80000000000000071</c:v>
                      </c:pt>
                      <c:pt idx="9">
                        <c:v>5.8000000000000007</c:v>
                      </c:pt>
                      <c:pt idx="10">
                        <c:v>-4.6000000000000085</c:v>
                      </c:pt>
                      <c:pt idx="11">
                        <c:v>-4.8000000000000043</c:v>
                      </c:pt>
                      <c:pt idx="12">
                        <c:v>-2.2000000000000064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4-BD14-48CA-AD30-2AAD6949462F}"/>
                  </c:ext>
                </c:extLst>
              </c15:ser>
            </c15:filteredScatterSeries>
            <c15:filteredScatterSeries>
              <c15:ser>
                <c:idx val="9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Показ 11 с, с (E)</c:v>
                      </c:pt>
                    </c:strCache>
                  </c:strRef>
                </c:tx>
                <c:spPr>
                  <a:ln w="19050">
                    <a:noFill/>
                  </a:ln>
                </c:spP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Sheet1!$E$2:$E$14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10.62</c:v>
                      </c:pt>
                      <c:pt idx="1">
                        <c:v>10.84</c:v>
                      </c:pt>
                      <c:pt idx="2">
                        <c:v>10.82</c:v>
                      </c:pt>
                      <c:pt idx="3">
                        <c:v>11</c:v>
                      </c:pt>
                      <c:pt idx="4">
                        <c:v>10.89</c:v>
                      </c:pt>
                      <c:pt idx="5">
                        <c:v>10.89</c:v>
                      </c:pt>
                      <c:pt idx="6">
                        <c:v>11.03</c:v>
                      </c:pt>
                      <c:pt idx="7">
                        <c:v>10.83</c:v>
                      </c:pt>
                      <c:pt idx="8">
                        <c:v>10.82</c:v>
                      </c:pt>
                      <c:pt idx="9">
                        <c:v>11.03</c:v>
                      </c:pt>
                      <c:pt idx="10">
                        <c:v>10.38</c:v>
                      </c:pt>
                      <c:pt idx="11">
                        <c:v>11.04</c:v>
                      </c:pt>
                      <c:pt idx="12">
                        <c:v>11.04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5-BD14-48CA-AD30-2AAD6949462F}"/>
                  </c:ext>
                </c:extLst>
              </c15:ser>
            </c15:filteredScatterSeries>
            <c15:filteredScatterSeries>
              <c15:ser>
                <c:idx val="11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δ для 11 с, % (G)</c:v>
                      </c:pt>
                    </c:strCache>
                  </c:strRef>
                </c:tx>
                <c:spPr>
                  <a:ln w="19050">
                    <a:noFill/>
                  </a:ln>
                </c:spP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Sheet1!$G$2:$G$14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-3.4545454545454617</c:v>
                      </c:pt>
                      <c:pt idx="1">
                        <c:v>-1.4545454545454557</c:v>
                      </c:pt>
                      <c:pt idx="2">
                        <c:v>-1.6363636363636338</c:v>
                      </c:pt>
                      <c:pt idx="3">
                        <c:v>0</c:v>
                      </c:pt>
                      <c:pt idx="4">
                        <c:v>-0.99999999999999478</c:v>
                      </c:pt>
                      <c:pt idx="5">
                        <c:v>-0.99999999999999478</c:v>
                      </c:pt>
                      <c:pt idx="6">
                        <c:v>0.27272727272726688</c:v>
                      </c:pt>
                      <c:pt idx="7">
                        <c:v>-1.5454545454545447</c:v>
                      </c:pt>
                      <c:pt idx="8">
                        <c:v>-1.6363636363636338</c:v>
                      </c:pt>
                      <c:pt idx="9">
                        <c:v>0.27272727272726688</c:v>
                      </c:pt>
                      <c:pt idx="10">
                        <c:v>-5.6363636363636287</c:v>
                      </c:pt>
                      <c:pt idx="11">
                        <c:v>0.36363636363635587</c:v>
                      </c:pt>
                      <c:pt idx="12">
                        <c:v>0.36363636363635587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7-BD14-48CA-AD30-2AAD6949462F}"/>
                  </c:ext>
                </c:extLst>
              </c15:ser>
            </c15:filteredScatterSeries>
            <c15:filteredScatterSeries>
              <c15:ser>
                <c:idx val="0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Показ 5 с, с (B)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Sheet1!$B$2:$B$14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4.95</c:v>
                      </c:pt>
                      <c:pt idx="1">
                        <c:v>5.22</c:v>
                      </c:pt>
                      <c:pt idx="2">
                        <c:v>4.96</c:v>
                      </c:pt>
                      <c:pt idx="3">
                        <c:v>4.62</c:v>
                      </c:pt>
                      <c:pt idx="4">
                        <c:v>4.42</c:v>
                      </c:pt>
                      <c:pt idx="5">
                        <c:v>4.62</c:v>
                      </c:pt>
                      <c:pt idx="6">
                        <c:v>4.83</c:v>
                      </c:pt>
                      <c:pt idx="7">
                        <c:v>5.01</c:v>
                      </c:pt>
                      <c:pt idx="8">
                        <c:v>4.96</c:v>
                      </c:pt>
                      <c:pt idx="9">
                        <c:v>5.29</c:v>
                      </c:pt>
                      <c:pt idx="10">
                        <c:v>4.7699999999999996</c:v>
                      </c:pt>
                      <c:pt idx="11">
                        <c:v>4.76</c:v>
                      </c:pt>
                      <c:pt idx="12">
                        <c:v>4.8899999999999997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BD14-48CA-AD30-2AAD6949462F}"/>
                  </c:ext>
                </c:extLst>
              </c15:ser>
            </c15:filteredScatterSeries>
            <c15:filteredScatterSeries>
              <c15:ser>
                <c:idx val="1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Δ для 5 с, с (C)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Sheet1!$C$2:$C$14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-4.9999999999999822E-2</c:v>
                      </c:pt>
                      <c:pt idx="1">
                        <c:v>0.21999999999999975</c:v>
                      </c:pt>
                      <c:pt idx="2">
                        <c:v>-4.0000000000000036E-2</c:v>
                      </c:pt>
                      <c:pt idx="3">
                        <c:v>-0.37999999999999989</c:v>
                      </c:pt>
                      <c:pt idx="4">
                        <c:v>-0.58000000000000007</c:v>
                      </c:pt>
                      <c:pt idx="5">
                        <c:v>-0.37999999999999989</c:v>
                      </c:pt>
                      <c:pt idx="6">
                        <c:v>-0.16999999999999993</c:v>
                      </c:pt>
                      <c:pt idx="7">
                        <c:v>9.9999999999997868E-3</c:v>
                      </c:pt>
                      <c:pt idx="8">
                        <c:v>-4.0000000000000036E-2</c:v>
                      </c:pt>
                      <c:pt idx="9">
                        <c:v>0.29000000000000004</c:v>
                      </c:pt>
                      <c:pt idx="10">
                        <c:v>-0.23000000000000043</c:v>
                      </c:pt>
                      <c:pt idx="11">
                        <c:v>-0.24000000000000021</c:v>
                      </c:pt>
                      <c:pt idx="12">
                        <c:v>-0.11000000000000032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BD14-48CA-AD30-2AAD6949462F}"/>
                  </c:ext>
                </c:extLst>
              </c15:ser>
            </c15:filteredScatterSeries>
            <c15:filteredScatterSeries>
              <c15:ser>
                <c:idx val="2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δ для 5 с, % (D)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Sheet1!$D$2:$D$14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-0.99999999999999634</c:v>
                      </c:pt>
                      <c:pt idx="1">
                        <c:v>4.399999999999995</c:v>
                      </c:pt>
                      <c:pt idx="2">
                        <c:v>-0.80000000000000071</c:v>
                      </c:pt>
                      <c:pt idx="3">
                        <c:v>-7.5999999999999988</c:v>
                      </c:pt>
                      <c:pt idx="4">
                        <c:v>-11.600000000000001</c:v>
                      </c:pt>
                      <c:pt idx="5">
                        <c:v>-7.5999999999999988</c:v>
                      </c:pt>
                      <c:pt idx="6">
                        <c:v>-3.399999999999999</c:v>
                      </c:pt>
                      <c:pt idx="7">
                        <c:v>0.19999999999999576</c:v>
                      </c:pt>
                      <c:pt idx="8">
                        <c:v>-0.80000000000000071</c:v>
                      </c:pt>
                      <c:pt idx="9">
                        <c:v>5.8000000000000007</c:v>
                      </c:pt>
                      <c:pt idx="10">
                        <c:v>-4.6000000000000085</c:v>
                      </c:pt>
                      <c:pt idx="11">
                        <c:v>-4.8000000000000043</c:v>
                      </c:pt>
                      <c:pt idx="12">
                        <c:v>-2.2000000000000064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BD14-48CA-AD30-2AAD6949462F}"/>
                  </c:ext>
                </c:extLst>
              </c15:ser>
            </c15:filteredScatterSeries>
            <c15:filteredScatterSeries>
              <c15:ser>
                <c:idx val="3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Показ 11 с, с (E)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Sheet1!$E$2:$E$14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10.62</c:v>
                      </c:pt>
                      <c:pt idx="1">
                        <c:v>10.84</c:v>
                      </c:pt>
                      <c:pt idx="2">
                        <c:v>10.82</c:v>
                      </c:pt>
                      <c:pt idx="3">
                        <c:v>11</c:v>
                      </c:pt>
                      <c:pt idx="4">
                        <c:v>10.89</c:v>
                      </c:pt>
                      <c:pt idx="5">
                        <c:v>10.89</c:v>
                      </c:pt>
                      <c:pt idx="6">
                        <c:v>11.03</c:v>
                      </c:pt>
                      <c:pt idx="7">
                        <c:v>10.83</c:v>
                      </c:pt>
                      <c:pt idx="8">
                        <c:v>10.82</c:v>
                      </c:pt>
                      <c:pt idx="9">
                        <c:v>11.03</c:v>
                      </c:pt>
                      <c:pt idx="10">
                        <c:v>10.38</c:v>
                      </c:pt>
                      <c:pt idx="11">
                        <c:v>11.04</c:v>
                      </c:pt>
                      <c:pt idx="12">
                        <c:v>11.04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D-BD14-48CA-AD30-2AAD6949462F}"/>
                  </c:ext>
                </c:extLst>
              </c15:ser>
            </c15:filteredScatterSeries>
            <c15:filteredScatterSeries>
              <c15:ser>
                <c:idx val="4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Δ для 11 с, с (F)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Sheet1!$F$2:$F$14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-0.38000000000000078</c:v>
                      </c:pt>
                      <c:pt idx="1">
                        <c:v>-0.16000000000000014</c:v>
                      </c:pt>
                      <c:pt idx="2">
                        <c:v>-0.17999999999999972</c:v>
                      </c:pt>
                      <c:pt idx="3">
                        <c:v>0</c:v>
                      </c:pt>
                      <c:pt idx="4">
                        <c:v>-0.10999999999999943</c:v>
                      </c:pt>
                      <c:pt idx="5">
                        <c:v>-0.10999999999999943</c:v>
                      </c:pt>
                      <c:pt idx="6">
                        <c:v>2.9999999999999361E-2</c:v>
                      </c:pt>
                      <c:pt idx="7">
                        <c:v>-0.16999999999999993</c:v>
                      </c:pt>
                      <c:pt idx="8">
                        <c:v>-0.17999999999999972</c:v>
                      </c:pt>
                      <c:pt idx="9">
                        <c:v>2.9999999999999361E-2</c:v>
                      </c:pt>
                      <c:pt idx="10">
                        <c:v>-0.61999999999999922</c:v>
                      </c:pt>
                      <c:pt idx="11">
                        <c:v>3.9999999999999147E-2</c:v>
                      </c:pt>
                      <c:pt idx="12">
                        <c:v>3.9999999999999147E-2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F-BD14-48CA-AD30-2AAD6949462F}"/>
                  </c:ext>
                </c:extLst>
              </c15:ser>
            </c15:filteredScatterSeries>
            <c15:filteredScatterSeries>
              <c15:ser>
                <c:idx val="5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δ для 11 с, % (G)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Sheet1!$G$2:$G$14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-3.4545454545454617</c:v>
                      </c:pt>
                      <c:pt idx="1">
                        <c:v>-1.4545454545454557</c:v>
                      </c:pt>
                      <c:pt idx="2">
                        <c:v>-1.6363636363636338</c:v>
                      </c:pt>
                      <c:pt idx="3">
                        <c:v>0</c:v>
                      </c:pt>
                      <c:pt idx="4">
                        <c:v>-0.99999999999999478</c:v>
                      </c:pt>
                      <c:pt idx="5">
                        <c:v>-0.99999999999999478</c:v>
                      </c:pt>
                      <c:pt idx="6">
                        <c:v>0.27272727272726688</c:v>
                      </c:pt>
                      <c:pt idx="7">
                        <c:v>-1.5454545454545447</c:v>
                      </c:pt>
                      <c:pt idx="8">
                        <c:v>-1.6363636363636338</c:v>
                      </c:pt>
                      <c:pt idx="9">
                        <c:v>0.27272727272726688</c:v>
                      </c:pt>
                      <c:pt idx="10">
                        <c:v>-5.6363636363636287</c:v>
                      </c:pt>
                      <c:pt idx="11">
                        <c:v>0.36363636363635587</c:v>
                      </c:pt>
                      <c:pt idx="12">
                        <c:v>0.36363636363635587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1-BD14-48CA-AD30-2AAD6949462F}"/>
                  </c:ext>
                </c:extLst>
              </c15:ser>
            </c15:filteredScatterSeries>
          </c:ext>
        </c:extLst>
      </c:scatterChart>
      <c:valAx>
        <c:axId val="124266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42665183"/>
        <c:crosses val="autoZero"/>
        <c:crossBetween val="midCat"/>
      </c:valAx>
      <c:valAx>
        <c:axId val="124266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42664703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" sz="1400" b="0" i="0" u="none" strike="noStrike" baseline="0"/>
              <a:t>Відносна похибка вимірювань, %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8"/>
          <c:order val="2"/>
          <c:tx>
            <c:strRef>
              <c:f>Sheet1!$D$1</c:f>
              <c:strCache>
                <c:ptCount val="1"/>
                <c:pt idx="0">
                  <c:v>δ для 5 с, % (D)</c:v>
                </c:pt>
              </c:strCache>
              <c:extLst xmlns:c15="http://schemas.microsoft.com/office/drawing/2012/chart"/>
            </c:strRef>
          </c:tx>
          <c:spPr>
            <a:ln w="19050">
              <a:noFill/>
            </a:ln>
          </c:spPr>
          <c:xVal>
            <c:numRef>
              <c:f>Sheet1!$A$2:$A$14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  <c:extLst xmlns:c15="http://schemas.microsoft.com/office/drawing/2012/chart"/>
            </c:numRef>
          </c:xVal>
          <c:yVal>
            <c:numRef>
              <c:f>Sheet1!$D$2:$D$14</c:f>
              <c:numCache>
                <c:formatCode>0.00</c:formatCode>
                <c:ptCount val="13"/>
                <c:pt idx="0">
                  <c:v>-0.99999999999999634</c:v>
                </c:pt>
                <c:pt idx="1">
                  <c:v>4.399999999999995</c:v>
                </c:pt>
                <c:pt idx="2">
                  <c:v>-0.80000000000000071</c:v>
                </c:pt>
                <c:pt idx="3">
                  <c:v>-7.5999999999999988</c:v>
                </c:pt>
                <c:pt idx="4">
                  <c:v>-11.600000000000001</c:v>
                </c:pt>
                <c:pt idx="5">
                  <c:v>-7.5999999999999988</c:v>
                </c:pt>
                <c:pt idx="6">
                  <c:v>-3.399999999999999</c:v>
                </c:pt>
                <c:pt idx="7">
                  <c:v>0.19999999999999576</c:v>
                </c:pt>
                <c:pt idx="8">
                  <c:v>-0.80000000000000071</c:v>
                </c:pt>
                <c:pt idx="9">
                  <c:v>5.8000000000000007</c:v>
                </c:pt>
                <c:pt idx="10">
                  <c:v>-4.6000000000000085</c:v>
                </c:pt>
                <c:pt idx="11">
                  <c:v>-4.8000000000000043</c:v>
                </c:pt>
                <c:pt idx="12">
                  <c:v>-2.2000000000000064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3-C7BF-45C6-A555-D814C250F0DE}"/>
            </c:ext>
          </c:extLst>
        </c:ser>
        <c:ser>
          <c:idx val="11"/>
          <c:order val="5"/>
          <c:tx>
            <c:strRef>
              <c:f>Sheet1!$G$1</c:f>
              <c:strCache>
                <c:ptCount val="1"/>
                <c:pt idx="0">
                  <c:v>δ для 11 с, % (G)</c:v>
                </c:pt>
              </c:strCache>
              <c:extLst xmlns:c15="http://schemas.microsoft.com/office/drawing/2012/chart"/>
            </c:strRef>
          </c:tx>
          <c:spPr>
            <a:ln w="19050">
              <a:noFill/>
            </a:ln>
          </c:spPr>
          <c:xVal>
            <c:numRef>
              <c:f>Sheet1!$A$2:$A$14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  <c:extLst xmlns:c15="http://schemas.microsoft.com/office/drawing/2012/chart"/>
            </c:numRef>
          </c:xVal>
          <c:yVal>
            <c:numRef>
              <c:f>Sheet1!$G$2:$G$14</c:f>
              <c:numCache>
                <c:formatCode>0.00</c:formatCode>
                <c:ptCount val="13"/>
                <c:pt idx="0">
                  <c:v>-3.4545454545454617</c:v>
                </c:pt>
                <c:pt idx="1">
                  <c:v>-1.4545454545454557</c:v>
                </c:pt>
                <c:pt idx="2">
                  <c:v>-1.6363636363636338</c:v>
                </c:pt>
                <c:pt idx="3">
                  <c:v>0</c:v>
                </c:pt>
                <c:pt idx="4">
                  <c:v>-0.99999999999999478</c:v>
                </c:pt>
                <c:pt idx="5">
                  <c:v>-0.99999999999999478</c:v>
                </c:pt>
                <c:pt idx="6">
                  <c:v>0.27272727272726688</c:v>
                </c:pt>
                <c:pt idx="7">
                  <c:v>-1.5454545454545447</c:v>
                </c:pt>
                <c:pt idx="8">
                  <c:v>-1.6363636363636338</c:v>
                </c:pt>
                <c:pt idx="9">
                  <c:v>0.27272727272726688</c:v>
                </c:pt>
                <c:pt idx="10">
                  <c:v>-5.6363636363636287</c:v>
                </c:pt>
                <c:pt idx="11">
                  <c:v>0.36363636363635587</c:v>
                </c:pt>
                <c:pt idx="12">
                  <c:v>0.36363636363635587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5-C7BF-45C6-A555-D814C250F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664703"/>
        <c:axId val="1242665183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Показ 5 с, с (B)</c:v>
                      </c:pt>
                    </c:strCache>
                  </c:strRef>
                </c:tx>
                <c:spPr>
                  <a:ln w="19050"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Sheet1!$A$2:$A$14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Sheet1!$B$2:$B$14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4.95</c:v>
                      </c:pt>
                      <c:pt idx="1">
                        <c:v>5.22</c:v>
                      </c:pt>
                      <c:pt idx="2">
                        <c:v>4.96</c:v>
                      </c:pt>
                      <c:pt idx="3">
                        <c:v>4.62</c:v>
                      </c:pt>
                      <c:pt idx="4">
                        <c:v>4.42</c:v>
                      </c:pt>
                      <c:pt idx="5">
                        <c:v>4.62</c:v>
                      </c:pt>
                      <c:pt idx="6">
                        <c:v>4.83</c:v>
                      </c:pt>
                      <c:pt idx="7">
                        <c:v>5.01</c:v>
                      </c:pt>
                      <c:pt idx="8">
                        <c:v>4.96</c:v>
                      </c:pt>
                      <c:pt idx="9">
                        <c:v>5.29</c:v>
                      </c:pt>
                      <c:pt idx="10">
                        <c:v>4.7699999999999996</c:v>
                      </c:pt>
                      <c:pt idx="11">
                        <c:v>4.76</c:v>
                      </c:pt>
                      <c:pt idx="12">
                        <c:v>4.8899999999999997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C7BF-45C6-A555-D814C250F0DE}"/>
                  </c:ext>
                </c:extLst>
              </c15:ser>
            </c15:filteredScatterSeries>
            <c15:filteredScatterSeries>
              <c15:ser>
                <c:idx val="7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Δ для 5 с, с (C)</c:v>
                      </c:pt>
                    </c:strCache>
                  </c:strRef>
                </c:tx>
                <c:spPr>
                  <a:ln w="19050">
                    <a:noFill/>
                  </a:ln>
                </c:spP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Sheet1!$C$2:$C$14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-4.9999999999999822E-2</c:v>
                      </c:pt>
                      <c:pt idx="1">
                        <c:v>0.21999999999999975</c:v>
                      </c:pt>
                      <c:pt idx="2">
                        <c:v>-4.0000000000000036E-2</c:v>
                      </c:pt>
                      <c:pt idx="3">
                        <c:v>-0.37999999999999989</c:v>
                      </c:pt>
                      <c:pt idx="4">
                        <c:v>-0.58000000000000007</c:v>
                      </c:pt>
                      <c:pt idx="5">
                        <c:v>-0.37999999999999989</c:v>
                      </c:pt>
                      <c:pt idx="6">
                        <c:v>-0.16999999999999993</c:v>
                      </c:pt>
                      <c:pt idx="7">
                        <c:v>9.9999999999997868E-3</c:v>
                      </c:pt>
                      <c:pt idx="8">
                        <c:v>-4.0000000000000036E-2</c:v>
                      </c:pt>
                      <c:pt idx="9">
                        <c:v>0.29000000000000004</c:v>
                      </c:pt>
                      <c:pt idx="10">
                        <c:v>-0.23000000000000043</c:v>
                      </c:pt>
                      <c:pt idx="11">
                        <c:v>-0.24000000000000021</c:v>
                      </c:pt>
                      <c:pt idx="12">
                        <c:v>-0.11000000000000032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C7BF-45C6-A555-D814C250F0DE}"/>
                  </c:ext>
                </c:extLst>
              </c15:ser>
            </c15:filteredScatterSeries>
            <c15:filteredScatterSeries>
              <c15:ser>
                <c:idx val="9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Показ 11 с, с (E)</c:v>
                      </c:pt>
                    </c:strCache>
                  </c:strRef>
                </c:tx>
                <c:spPr>
                  <a:ln w="19050">
                    <a:noFill/>
                  </a:ln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Sheet1!$E$2:$E$14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10.62</c:v>
                      </c:pt>
                      <c:pt idx="1">
                        <c:v>10.84</c:v>
                      </c:pt>
                      <c:pt idx="2">
                        <c:v>10.82</c:v>
                      </c:pt>
                      <c:pt idx="3">
                        <c:v>11</c:v>
                      </c:pt>
                      <c:pt idx="4">
                        <c:v>10.89</c:v>
                      </c:pt>
                      <c:pt idx="5">
                        <c:v>10.89</c:v>
                      </c:pt>
                      <c:pt idx="6">
                        <c:v>11.03</c:v>
                      </c:pt>
                      <c:pt idx="7">
                        <c:v>10.83</c:v>
                      </c:pt>
                      <c:pt idx="8">
                        <c:v>10.82</c:v>
                      </c:pt>
                      <c:pt idx="9">
                        <c:v>11.03</c:v>
                      </c:pt>
                      <c:pt idx="10">
                        <c:v>10.38</c:v>
                      </c:pt>
                      <c:pt idx="11">
                        <c:v>11.04</c:v>
                      </c:pt>
                      <c:pt idx="12">
                        <c:v>11.04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C7BF-45C6-A555-D814C250F0DE}"/>
                  </c:ext>
                </c:extLst>
              </c15:ser>
            </c15:filteredScatterSeries>
            <c15:filteredScatterSeries>
              <c15:ser>
                <c:idx val="10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Δ для 11 с, с (F)</c:v>
                      </c:pt>
                    </c:strCache>
                  </c:strRef>
                </c:tx>
                <c:spPr>
                  <a:ln w="19050">
                    <a:noFill/>
                  </a:ln>
                </c:spP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Sheet1!$F$2:$F$14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-0.38000000000000078</c:v>
                      </c:pt>
                      <c:pt idx="1">
                        <c:v>-0.16000000000000014</c:v>
                      </c:pt>
                      <c:pt idx="2">
                        <c:v>-0.17999999999999972</c:v>
                      </c:pt>
                      <c:pt idx="3">
                        <c:v>0</c:v>
                      </c:pt>
                      <c:pt idx="4">
                        <c:v>-0.10999999999999943</c:v>
                      </c:pt>
                      <c:pt idx="5">
                        <c:v>-0.10999999999999943</c:v>
                      </c:pt>
                      <c:pt idx="6">
                        <c:v>2.9999999999999361E-2</c:v>
                      </c:pt>
                      <c:pt idx="7">
                        <c:v>-0.16999999999999993</c:v>
                      </c:pt>
                      <c:pt idx="8">
                        <c:v>-0.17999999999999972</c:v>
                      </c:pt>
                      <c:pt idx="9">
                        <c:v>2.9999999999999361E-2</c:v>
                      </c:pt>
                      <c:pt idx="10">
                        <c:v>-0.61999999999999922</c:v>
                      </c:pt>
                      <c:pt idx="11">
                        <c:v>3.9999999999999147E-2</c:v>
                      </c:pt>
                      <c:pt idx="12">
                        <c:v>3.9999999999999147E-2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7BF-45C6-A555-D814C250F0DE}"/>
                  </c:ext>
                </c:extLst>
              </c15:ser>
            </c15:filteredScatterSeries>
            <c15:filteredScatterSeries>
              <c15:ser>
                <c:idx val="0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Показ 5 с, с (B)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Sheet1!$B$2:$B$14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4.95</c:v>
                      </c:pt>
                      <c:pt idx="1">
                        <c:v>5.22</c:v>
                      </c:pt>
                      <c:pt idx="2">
                        <c:v>4.96</c:v>
                      </c:pt>
                      <c:pt idx="3">
                        <c:v>4.62</c:v>
                      </c:pt>
                      <c:pt idx="4">
                        <c:v>4.42</c:v>
                      </c:pt>
                      <c:pt idx="5">
                        <c:v>4.62</c:v>
                      </c:pt>
                      <c:pt idx="6">
                        <c:v>4.83</c:v>
                      </c:pt>
                      <c:pt idx="7">
                        <c:v>5.01</c:v>
                      </c:pt>
                      <c:pt idx="8">
                        <c:v>4.96</c:v>
                      </c:pt>
                      <c:pt idx="9">
                        <c:v>5.29</c:v>
                      </c:pt>
                      <c:pt idx="10">
                        <c:v>4.7699999999999996</c:v>
                      </c:pt>
                      <c:pt idx="11">
                        <c:v>4.76</c:v>
                      </c:pt>
                      <c:pt idx="12">
                        <c:v>4.8899999999999997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C7BF-45C6-A555-D814C250F0DE}"/>
                  </c:ext>
                </c:extLst>
              </c15:ser>
            </c15:filteredScatterSeries>
            <c15:filteredScatterSeries>
              <c15:ser>
                <c:idx val="1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Δ для 5 с, с (C)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Sheet1!$C$2:$C$14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-4.9999999999999822E-2</c:v>
                      </c:pt>
                      <c:pt idx="1">
                        <c:v>0.21999999999999975</c:v>
                      </c:pt>
                      <c:pt idx="2">
                        <c:v>-4.0000000000000036E-2</c:v>
                      </c:pt>
                      <c:pt idx="3">
                        <c:v>-0.37999999999999989</c:v>
                      </c:pt>
                      <c:pt idx="4">
                        <c:v>-0.58000000000000007</c:v>
                      </c:pt>
                      <c:pt idx="5">
                        <c:v>-0.37999999999999989</c:v>
                      </c:pt>
                      <c:pt idx="6">
                        <c:v>-0.16999999999999993</c:v>
                      </c:pt>
                      <c:pt idx="7">
                        <c:v>9.9999999999997868E-3</c:v>
                      </c:pt>
                      <c:pt idx="8">
                        <c:v>-4.0000000000000036E-2</c:v>
                      </c:pt>
                      <c:pt idx="9">
                        <c:v>0.29000000000000004</c:v>
                      </c:pt>
                      <c:pt idx="10">
                        <c:v>-0.23000000000000043</c:v>
                      </c:pt>
                      <c:pt idx="11">
                        <c:v>-0.24000000000000021</c:v>
                      </c:pt>
                      <c:pt idx="12">
                        <c:v>-0.11000000000000032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C7BF-45C6-A555-D814C250F0DE}"/>
                  </c:ext>
                </c:extLst>
              </c15:ser>
            </c15:filteredScatterSeries>
            <c15:filteredScatterSeries>
              <c15:ser>
                <c:idx val="2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δ для 5 с, % (D)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Sheet1!$D$2:$D$14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-0.99999999999999634</c:v>
                      </c:pt>
                      <c:pt idx="1">
                        <c:v>4.399999999999995</c:v>
                      </c:pt>
                      <c:pt idx="2">
                        <c:v>-0.80000000000000071</c:v>
                      </c:pt>
                      <c:pt idx="3">
                        <c:v>-7.5999999999999988</c:v>
                      </c:pt>
                      <c:pt idx="4">
                        <c:v>-11.600000000000001</c:v>
                      </c:pt>
                      <c:pt idx="5">
                        <c:v>-7.5999999999999988</c:v>
                      </c:pt>
                      <c:pt idx="6">
                        <c:v>-3.399999999999999</c:v>
                      </c:pt>
                      <c:pt idx="7">
                        <c:v>0.19999999999999576</c:v>
                      </c:pt>
                      <c:pt idx="8">
                        <c:v>-0.80000000000000071</c:v>
                      </c:pt>
                      <c:pt idx="9">
                        <c:v>5.8000000000000007</c:v>
                      </c:pt>
                      <c:pt idx="10">
                        <c:v>-4.6000000000000085</c:v>
                      </c:pt>
                      <c:pt idx="11">
                        <c:v>-4.8000000000000043</c:v>
                      </c:pt>
                      <c:pt idx="12">
                        <c:v>-2.2000000000000064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8-C7BF-45C6-A555-D814C250F0DE}"/>
                  </c:ext>
                </c:extLst>
              </c15:ser>
            </c15:filteredScatterSeries>
            <c15:filteredScatterSeries>
              <c15:ser>
                <c:idx val="3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Показ 11 с, с (E)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Sheet1!$E$2:$E$14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10.62</c:v>
                      </c:pt>
                      <c:pt idx="1">
                        <c:v>10.84</c:v>
                      </c:pt>
                      <c:pt idx="2">
                        <c:v>10.82</c:v>
                      </c:pt>
                      <c:pt idx="3">
                        <c:v>11</c:v>
                      </c:pt>
                      <c:pt idx="4">
                        <c:v>10.89</c:v>
                      </c:pt>
                      <c:pt idx="5">
                        <c:v>10.89</c:v>
                      </c:pt>
                      <c:pt idx="6">
                        <c:v>11.03</c:v>
                      </c:pt>
                      <c:pt idx="7">
                        <c:v>10.83</c:v>
                      </c:pt>
                      <c:pt idx="8">
                        <c:v>10.82</c:v>
                      </c:pt>
                      <c:pt idx="9">
                        <c:v>11.03</c:v>
                      </c:pt>
                      <c:pt idx="10">
                        <c:v>10.38</c:v>
                      </c:pt>
                      <c:pt idx="11">
                        <c:v>11.04</c:v>
                      </c:pt>
                      <c:pt idx="12">
                        <c:v>11.04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C7BF-45C6-A555-D814C250F0DE}"/>
                  </c:ext>
                </c:extLst>
              </c15:ser>
            </c15:filteredScatterSeries>
            <c15:filteredScatterSeries>
              <c15:ser>
                <c:idx val="4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Δ для 11 с, с (F)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Sheet1!$F$2:$F$14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-0.38000000000000078</c:v>
                      </c:pt>
                      <c:pt idx="1">
                        <c:v>-0.16000000000000014</c:v>
                      </c:pt>
                      <c:pt idx="2">
                        <c:v>-0.17999999999999972</c:v>
                      </c:pt>
                      <c:pt idx="3">
                        <c:v>0</c:v>
                      </c:pt>
                      <c:pt idx="4">
                        <c:v>-0.10999999999999943</c:v>
                      </c:pt>
                      <c:pt idx="5">
                        <c:v>-0.10999999999999943</c:v>
                      </c:pt>
                      <c:pt idx="6">
                        <c:v>2.9999999999999361E-2</c:v>
                      </c:pt>
                      <c:pt idx="7">
                        <c:v>-0.16999999999999993</c:v>
                      </c:pt>
                      <c:pt idx="8">
                        <c:v>-0.17999999999999972</c:v>
                      </c:pt>
                      <c:pt idx="9">
                        <c:v>2.9999999999999361E-2</c:v>
                      </c:pt>
                      <c:pt idx="10">
                        <c:v>-0.61999999999999922</c:v>
                      </c:pt>
                      <c:pt idx="11">
                        <c:v>3.9999999999999147E-2</c:v>
                      </c:pt>
                      <c:pt idx="12">
                        <c:v>3.9999999999999147E-2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C7BF-45C6-A555-D814C250F0DE}"/>
                  </c:ext>
                </c:extLst>
              </c15:ser>
            </c15:filteredScatterSeries>
            <c15:filteredScatterSeries>
              <c15:ser>
                <c:idx val="5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δ для 11 с, % (G)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Sheet1!$G$2:$G$14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-3.4545454545454617</c:v>
                      </c:pt>
                      <c:pt idx="1">
                        <c:v>-1.4545454545454557</c:v>
                      </c:pt>
                      <c:pt idx="2">
                        <c:v>-1.6363636363636338</c:v>
                      </c:pt>
                      <c:pt idx="3">
                        <c:v>0</c:v>
                      </c:pt>
                      <c:pt idx="4">
                        <c:v>-0.99999999999999478</c:v>
                      </c:pt>
                      <c:pt idx="5">
                        <c:v>-0.99999999999999478</c:v>
                      </c:pt>
                      <c:pt idx="6">
                        <c:v>0.27272727272726688</c:v>
                      </c:pt>
                      <c:pt idx="7">
                        <c:v>-1.5454545454545447</c:v>
                      </c:pt>
                      <c:pt idx="8">
                        <c:v>-1.6363636363636338</c:v>
                      </c:pt>
                      <c:pt idx="9">
                        <c:v>0.27272727272726688</c:v>
                      </c:pt>
                      <c:pt idx="10">
                        <c:v>-5.6363636363636287</c:v>
                      </c:pt>
                      <c:pt idx="11">
                        <c:v>0.36363636363635587</c:v>
                      </c:pt>
                      <c:pt idx="12">
                        <c:v>0.36363636363635587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C7BF-45C6-A555-D814C250F0DE}"/>
                  </c:ext>
                </c:extLst>
              </c15:ser>
            </c15:filteredScatterSeries>
          </c:ext>
        </c:extLst>
      </c:scatterChart>
      <c:valAx>
        <c:axId val="124266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42665183"/>
        <c:crosses val="autoZero"/>
        <c:crossBetween val="midCat"/>
      </c:valAx>
      <c:valAx>
        <c:axId val="124266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42664703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541020</xdr:colOff>
      <xdr:row>15</xdr:row>
      <xdr:rowOff>3810</xdr:rowOff>
    </xdr:from>
    <xdr:to>
      <xdr:col>4</xdr:col>
      <xdr:colOff>236220</xdr:colOff>
      <xdr:row>30</xdr:row>
      <xdr:rowOff>3810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5EEBA2C-A1EE-1510-4EC8-3A258D776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693420</xdr:colOff>
      <xdr:row>15</xdr:row>
      <xdr:rowOff>15240</xdr:rowOff>
    </xdr:from>
    <xdr:to>
      <xdr:col>9</xdr:col>
      <xdr:colOff>388620</xdr:colOff>
      <xdr:row>30</xdr:row>
      <xdr:rowOff>15240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CE14DE6-447F-4F8F-BA4F-55F73A9C6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topLeftCell="A7" zoomScaleNormal="100" workbookViewId="0">
      <selection activeCell="L12" sqref="L12"/>
    </sheetView>
  </sheetViews>
  <sheetFormatPr defaultRowHeight="14.4" x14ac:dyDescent="0.3"/>
  <cols>
    <col min="1" max="1" width="17.77734375" customWidth="1"/>
    <col min="2" max="2" width="17.77734375" style="6" customWidth="1"/>
    <col min="3" max="3" width="17.77734375" customWidth="1"/>
    <col min="4" max="4" width="17.77734375" style="8" customWidth="1"/>
    <col min="5" max="6" width="17.77734375" customWidth="1"/>
    <col min="7" max="7" width="17.77734375" style="6" customWidth="1"/>
  </cols>
  <sheetData>
    <row r="1" spans="1:7" ht="15" x14ac:dyDescent="0.35">
      <c r="A1" s="2" t="s">
        <v>1</v>
      </c>
      <c r="B1" s="5" t="s">
        <v>2</v>
      </c>
      <c r="C1" s="3" t="s">
        <v>3</v>
      </c>
      <c r="D1" s="9" t="s">
        <v>4</v>
      </c>
      <c r="E1" s="3" t="s">
        <v>5</v>
      </c>
      <c r="F1" s="3" t="s">
        <v>6</v>
      </c>
      <c r="G1" s="5" t="s">
        <v>7</v>
      </c>
    </row>
    <row r="2" spans="1:7" x14ac:dyDescent="0.3">
      <c r="A2" s="4">
        <v>1</v>
      </c>
      <c r="B2" s="7">
        <v>4.95</v>
      </c>
      <c r="C2" s="1">
        <f>B2-5</f>
        <v>-4.9999999999999822E-2</v>
      </c>
      <c r="D2" s="10">
        <f>C2/5*100</f>
        <v>-0.99999999999999634</v>
      </c>
      <c r="E2" s="1">
        <v>10.62</v>
      </c>
      <c r="F2" s="1">
        <f>E2-11</f>
        <v>-0.38000000000000078</v>
      </c>
      <c r="G2" s="7">
        <f>F2/11*100</f>
        <v>-3.4545454545454617</v>
      </c>
    </row>
    <row r="3" spans="1:7" x14ac:dyDescent="0.3">
      <c r="A3" s="4">
        <v>2</v>
      </c>
      <c r="B3" s="7">
        <v>5.22</v>
      </c>
      <c r="C3" s="1">
        <f t="shared" ref="C3:C14" si="0">B3-5</f>
        <v>0.21999999999999975</v>
      </c>
      <c r="D3" s="10">
        <f t="shared" ref="D3:D14" si="1">C3/5*100</f>
        <v>4.399999999999995</v>
      </c>
      <c r="E3" s="1">
        <v>10.84</v>
      </c>
      <c r="F3" s="1">
        <f t="shared" ref="F3:F14" si="2">E3-11</f>
        <v>-0.16000000000000014</v>
      </c>
      <c r="G3" s="7">
        <f t="shared" ref="G3:G14" si="3">F3/11*100</f>
        <v>-1.4545454545454557</v>
      </c>
    </row>
    <row r="4" spans="1:7" x14ac:dyDescent="0.3">
      <c r="A4" s="4">
        <v>3</v>
      </c>
      <c r="B4" s="7">
        <v>4.96</v>
      </c>
      <c r="C4" s="1">
        <f t="shared" si="0"/>
        <v>-4.0000000000000036E-2</v>
      </c>
      <c r="D4" s="10">
        <f t="shared" si="1"/>
        <v>-0.80000000000000071</v>
      </c>
      <c r="E4" s="1">
        <v>10.82</v>
      </c>
      <c r="F4" s="1">
        <f t="shared" si="2"/>
        <v>-0.17999999999999972</v>
      </c>
      <c r="G4" s="7">
        <f t="shared" si="3"/>
        <v>-1.6363636363636338</v>
      </c>
    </row>
    <row r="5" spans="1:7" x14ac:dyDescent="0.3">
      <c r="A5" s="4">
        <v>4</v>
      </c>
      <c r="B5" s="7">
        <v>4.62</v>
      </c>
      <c r="C5" s="1">
        <f t="shared" si="0"/>
        <v>-0.37999999999999989</v>
      </c>
      <c r="D5" s="10">
        <f t="shared" si="1"/>
        <v>-7.5999999999999988</v>
      </c>
      <c r="E5" s="1">
        <v>11</v>
      </c>
      <c r="F5" s="1">
        <f t="shared" si="2"/>
        <v>0</v>
      </c>
      <c r="G5" s="7">
        <f t="shared" si="3"/>
        <v>0</v>
      </c>
    </row>
    <row r="6" spans="1:7" x14ac:dyDescent="0.3">
      <c r="A6" s="4">
        <v>5</v>
      </c>
      <c r="B6" s="7">
        <v>4.42</v>
      </c>
      <c r="C6" s="1">
        <f t="shared" si="0"/>
        <v>-0.58000000000000007</v>
      </c>
      <c r="D6" s="10">
        <f t="shared" si="1"/>
        <v>-11.600000000000001</v>
      </c>
      <c r="E6" s="1">
        <v>10.89</v>
      </c>
      <c r="F6" s="1">
        <f t="shared" si="2"/>
        <v>-0.10999999999999943</v>
      </c>
      <c r="G6" s="7">
        <f t="shared" si="3"/>
        <v>-0.99999999999999478</v>
      </c>
    </row>
    <row r="7" spans="1:7" x14ac:dyDescent="0.3">
      <c r="A7" s="4">
        <v>6</v>
      </c>
      <c r="B7" s="7">
        <v>4.62</v>
      </c>
      <c r="C7" s="1">
        <f t="shared" si="0"/>
        <v>-0.37999999999999989</v>
      </c>
      <c r="D7" s="10">
        <f t="shared" si="1"/>
        <v>-7.5999999999999988</v>
      </c>
      <c r="E7" s="1">
        <v>10.89</v>
      </c>
      <c r="F7" s="1">
        <f t="shared" si="2"/>
        <v>-0.10999999999999943</v>
      </c>
      <c r="G7" s="7">
        <f t="shared" si="3"/>
        <v>-0.99999999999999478</v>
      </c>
    </row>
    <row r="8" spans="1:7" x14ac:dyDescent="0.3">
      <c r="A8" s="4">
        <v>7</v>
      </c>
      <c r="B8" s="7">
        <v>4.83</v>
      </c>
      <c r="C8" s="1">
        <f t="shared" si="0"/>
        <v>-0.16999999999999993</v>
      </c>
      <c r="D8" s="10">
        <f t="shared" si="1"/>
        <v>-3.399999999999999</v>
      </c>
      <c r="E8" s="1">
        <v>11.03</v>
      </c>
      <c r="F8" s="1">
        <f t="shared" si="2"/>
        <v>2.9999999999999361E-2</v>
      </c>
      <c r="G8" s="7">
        <f t="shared" si="3"/>
        <v>0.27272727272726688</v>
      </c>
    </row>
    <row r="9" spans="1:7" x14ac:dyDescent="0.3">
      <c r="A9" s="4">
        <v>8</v>
      </c>
      <c r="B9" s="7">
        <v>5.01</v>
      </c>
      <c r="C9" s="1">
        <f t="shared" si="0"/>
        <v>9.9999999999997868E-3</v>
      </c>
      <c r="D9" s="10">
        <f t="shared" si="1"/>
        <v>0.19999999999999576</v>
      </c>
      <c r="E9" s="1">
        <v>10.83</v>
      </c>
      <c r="F9" s="1">
        <f t="shared" si="2"/>
        <v>-0.16999999999999993</v>
      </c>
      <c r="G9" s="7">
        <f t="shared" si="3"/>
        <v>-1.5454545454545447</v>
      </c>
    </row>
    <row r="10" spans="1:7" x14ac:dyDescent="0.3">
      <c r="A10" s="4">
        <v>9</v>
      </c>
      <c r="B10" s="7">
        <v>4.96</v>
      </c>
      <c r="C10" s="1">
        <f t="shared" si="0"/>
        <v>-4.0000000000000036E-2</v>
      </c>
      <c r="D10" s="10">
        <f t="shared" si="1"/>
        <v>-0.80000000000000071</v>
      </c>
      <c r="E10" s="1">
        <v>10.82</v>
      </c>
      <c r="F10" s="1">
        <f t="shared" si="2"/>
        <v>-0.17999999999999972</v>
      </c>
      <c r="G10" s="7">
        <f t="shared" si="3"/>
        <v>-1.6363636363636338</v>
      </c>
    </row>
    <row r="11" spans="1:7" x14ac:dyDescent="0.3">
      <c r="A11" s="4">
        <v>10</v>
      </c>
      <c r="B11" s="7">
        <v>5.29</v>
      </c>
      <c r="C11" s="1">
        <f t="shared" si="0"/>
        <v>0.29000000000000004</v>
      </c>
      <c r="D11" s="10">
        <f t="shared" si="1"/>
        <v>5.8000000000000007</v>
      </c>
      <c r="E11" s="1">
        <v>11.03</v>
      </c>
      <c r="F11" s="1">
        <f t="shared" si="2"/>
        <v>2.9999999999999361E-2</v>
      </c>
      <c r="G11" s="7">
        <f t="shared" si="3"/>
        <v>0.27272727272726688</v>
      </c>
    </row>
    <row r="12" spans="1:7" x14ac:dyDescent="0.3">
      <c r="A12" s="4">
        <v>11</v>
      </c>
      <c r="B12" s="7">
        <v>4.7699999999999996</v>
      </c>
      <c r="C12" s="1">
        <f t="shared" si="0"/>
        <v>-0.23000000000000043</v>
      </c>
      <c r="D12" s="10">
        <f t="shared" si="1"/>
        <v>-4.6000000000000085</v>
      </c>
      <c r="E12" s="1">
        <v>10.38</v>
      </c>
      <c r="F12" s="1">
        <f t="shared" si="2"/>
        <v>-0.61999999999999922</v>
      </c>
      <c r="G12" s="7">
        <f t="shared" si="3"/>
        <v>-5.6363636363636287</v>
      </c>
    </row>
    <row r="13" spans="1:7" x14ac:dyDescent="0.3">
      <c r="A13" s="4">
        <v>12</v>
      </c>
      <c r="B13" s="7">
        <v>4.76</v>
      </c>
      <c r="C13" s="1">
        <f t="shared" si="0"/>
        <v>-0.24000000000000021</v>
      </c>
      <c r="D13" s="10">
        <f t="shared" si="1"/>
        <v>-4.8000000000000043</v>
      </c>
      <c r="E13" s="1">
        <v>11.04</v>
      </c>
      <c r="F13" s="1">
        <f t="shared" si="2"/>
        <v>3.9999999999999147E-2</v>
      </c>
      <c r="G13" s="7">
        <f t="shared" si="3"/>
        <v>0.36363636363635587</v>
      </c>
    </row>
    <row r="14" spans="1:7" x14ac:dyDescent="0.3">
      <c r="A14" s="4">
        <v>13</v>
      </c>
      <c r="B14" s="7">
        <v>4.8899999999999997</v>
      </c>
      <c r="C14" s="1">
        <f t="shared" si="0"/>
        <v>-0.11000000000000032</v>
      </c>
      <c r="D14" s="10">
        <f t="shared" si="1"/>
        <v>-2.2000000000000064</v>
      </c>
      <c r="E14" s="1">
        <v>11.04</v>
      </c>
      <c r="F14" s="1">
        <f t="shared" si="2"/>
        <v>3.9999999999999147E-2</v>
      </c>
      <c r="G14" s="7">
        <f t="shared" si="3"/>
        <v>0.36363636363635587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2015-06-05T18:17:20Z</dcterms:created>
  <dcterms:modified xsi:type="dcterms:W3CDTF">2026-10-21T18:58:46Z</dcterms:modified>
</cp:coreProperties>
</file>